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URANCE IT\repos\projects\mdlz-selec\"/>
    </mc:Choice>
  </mc:AlternateContent>
  <xr:revisionPtr revIDLastSave="0" documentId="13_ncr:1_{F9FE09E5-8087-435F-82A6-973D0C7513BE}" xr6:coauthVersionLast="47" xr6:coauthVersionMax="47" xr10:uidLastSave="{00000000-0000-0000-0000-000000000000}"/>
  <bookViews>
    <workbookView xWindow="-120" yWindow="-120" windowWidth="20730" windowHeight="11040" activeTab="1" xr2:uid="{3532AA99-C125-4593-B349-FFA9325669F7}"/>
  </bookViews>
  <sheets>
    <sheet name="Planilha1" sheetId="1" r:id="rId1"/>
    <sheet name="Planilha4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4" l="1"/>
  <c r="F17" i="4"/>
  <c r="T1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R18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P18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N18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L3" i="1"/>
  <c r="L4" i="1"/>
  <c r="L5" i="1"/>
  <c r="L6" i="1"/>
  <c r="L7" i="1"/>
  <c r="L8" i="1"/>
  <c r="L9" i="1"/>
  <c r="L10" i="1"/>
  <c r="L11" i="1"/>
  <c r="L18" i="1" s="1"/>
  <c r="L12" i="1"/>
  <c r="L13" i="1"/>
  <c r="L14" i="1"/>
  <c r="L15" i="1"/>
  <c r="L16" i="1"/>
  <c r="L17" i="1"/>
  <c r="J3" i="1"/>
  <c r="H1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F6" i="1"/>
  <c r="F18" i="1"/>
  <c r="E18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3" i="1"/>
</calcChain>
</file>

<file path=xl/sharedStrings.xml><?xml version="1.0" encoding="utf-8"?>
<sst xmlns="http://schemas.openxmlformats.org/spreadsheetml/2006/main" count="172" uniqueCount="81">
  <si>
    <t>Cereal Bar 50g</t>
  </si>
  <si>
    <t>E-commerce</t>
  </si>
  <si>
    <t>Energy Drink 350ml</t>
  </si>
  <si>
    <t>Product</t>
  </si>
  <si>
    <t>Channel</t>
  </si>
  <si>
    <t>Flavored Water 500ml</t>
  </si>
  <si>
    <t>Natural Juice 1L</t>
  </si>
  <si>
    <t>Whole Grain Crackers 200g</t>
  </si>
  <si>
    <t>Supermarkets</t>
  </si>
  <si>
    <t>Traditional</t>
  </si>
  <si>
    <t>MAPE_v1</t>
  </si>
  <si>
    <t>MAPE_v2</t>
  </si>
  <si>
    <t>v1</t>
  </si>
  <si>
    <t>Rolling backtest com features lag pré-calculadas</t>
  </si>
  <si>
    <t>versão</t>
  </si>
  <si>
    <t>descrição</t>
  </si>
  <si>
    <t>problema</t>
  </si>
  <si>
    <t>Data leackage se calcular as lag features de forma não recursiva nos modelos</t>
  </si>
  <si>
    <t>v2</t>
  </si>
  <si>
    <t>Rodamos o teste com rolling backtest de 72 semanas com as features de lag calculadas recursivamente dentro dos modelos</t>
  </si>
  <si>
    <t>1-MAPE</t>
  </si>
  <si>
    <t>v3</t>
  </si>
  <si>
    <t>MAPE_v3</t>
  </si>
  <si>
    <t>A mesma coisa que o v2 mas agora gerada pelo Claude</t>
  </si>
  <si>
    <t>v4</t>
  </si>
  <si>
    <t>Agora o mesmo do v3 mas rodada com todas as combinações product/channel juntas</t>
  </si>
  <si>
    <t>MAPE_v4</t>
  </si>
  <si>
    <t>v5</t>
  </si>
  <si>
    <t>Mudança no método de obtenção de seno e coseno do mês</t>
  </si>
  <si>
    <t>MAPE_v5</t>
  </si>
  <si>
    <t>Resultado</t>
  </si>
  <si>
    <t>Não mudou nada entre os tipos de obtenção de seno e coseno</t>
  </si>
  <si>
    <t>MAPE_v5 (52)</t>
  </si>
  <si>
    <t>Rodado com o horizonte = 52</t>
  </si>
  <si>
    <t>v5_2</t>
  </si>
  <si>
    <t>v6</t>
  </si>
  <si>
    <t>MAPE_v6</t>
  </si>
  <si>
    <t>Adicionado o Randon Search para buscar a melhor combinação de hiperparametros para cada combinação de produto/canal e voltamos com o horizonte = 78</t>
  </si>
  <si>
    <t>MAPE_v7</t>
  </si>
  <si>
    <t>v7</t>
  </si>
  <si>
    <t>Substituido o método de Random Search por Optmun, para seleção de hiperparametros</t>
  </si>
  <si>
    <t>Metodo</t>
  </si>
  <si>
    <t>Constraint</t>
  </si>
  <si>
    <t>Modelo</t>
  </si>
  <si>
    <t>Accuracy_Atual_%</t>
  </si>
  <si>
    <t>Accuracy_Baseline_%</t>
  </si>
  <si>
    <t>Delta_pp</t>
  </si>
  <si>
    <t>Energy Drink</t>
  </si>
  <si>
    <t>Pooling</t>
  </si>
  <si>
    <t>Sim</t>
  </si>
  <si>
    <t>LightGBM</t>
  </si>
  <si>
    <t>Whole Grain Crackers</t>
  </si>
  <si>
    <t>SKU-level</t>
  </si>
  <si>
    <t>Nao</t>
  </si>
  <si>
    <t>Flavored Water</t>
  </si>
  <si>
    <t>XGBoost</t>
  </si>
  <si>
    <t>Cereal Bar</t>
  </si>
  <si>
    <t>GAM</t>
  </si>
  <si>
    <t>Natural Juice</t>
  </si>
  <si>
    <t>59,8</t>
  </si>
  <si>
    <t>23,3</t>
  </si>
  <si>
    <t>22,5</t>
  </si>
  <si>
    <t>6,3</t>
  </si>
  <si>
    <t>5,2</t>
  </si>
  <si>
    <t>1,9</t>
  </si>
  <si>
    <t>1,5</t>
  </si>
  <si>
    <t>0,2</t>
  </si>
  <si>
    <t>0,1</t>
  </si>
  <si>
    <t>Nota</t>
  </si>
  <si>
    <t>INSTAVEL -- accuracy negativa, risco de dado nao resolvido</t>
  </si>
  <si>
    <t>LightGBM Tuned</t>
  </si>
  <si>
    <t>Decisao pendente</t>
  </si>
  <si>
    <t>LightGBM (tuned)</t>
  </si>
  <si>
    <t>Trocado de Stacked p/ GAM (stacked nao fechou a restricao)</t>
  </si>
  <si>
    <t>30,7</t>
  </si>
  <si>
    <t>C/ constraint = 64,2% (-4,7pp) | S/ constraint = 69,0%</t>
  </si>
  <si>
    <t>12,7</t>
  </si>
  <si>
    <t>1,8</t>
  </si>
  <si>
    <t>1,3</t>
  </si>
  <si>
    <t>0,8</t>
  </si>
  <si>
    <t>-0,1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</si>
</sst>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9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/>
    </xf>
    <xf numFmtId="2" fontId="0" fillId="0" borderId="0" xfId="0" applyNumberFormat="1"/>
    <xf numFmtId="2" fontId="3" fillId="0" borderId="0" xfId="0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C970-6581-46E7-A70C-2DD1017BCA62}">
  <dimension ref="B2:T29"/>
  <sheetViews>
    <sheetView topLeftCell="C1" workbookViewId="0">
      <selection activeCell="L5" sqref="L5"/>
    </sheetView>
  </sheetViews>
  <sheetFormatPr defaultRowHeight="15" x14ac:dyDescent="0.25"/>
  <cols>
    <col min="2" max="2" width="3" bestFit="1" customWidth="1"/>
    <col min="3" max="3" width="23.28515625" bestFit="1" customWidth="1"/>
    <col min="4" max="4" width="12.140625" bestFit="1" customWidth="1"/>
    <col min="11" max="11" width="8.85546875" style="1"/>
  </cols>
  <sheetData>
    <row r="2" spans="2:20" x14ac:dyDescent="0.25">
      <c r="C2" t="s">
        <v>3</v>
      </c>
      <c r="D2" t="s">
        <v>4</v>
      </c>
      <c r="E2" t="s">
        <v>10</v>
      </c>
      <c r="F2" t="s">
        <v>20</v>
      </c>
      <c r="G2" t="s">
        <v>11</v>
      </c>
      <c r="H2" t="s">
        <v>20</v>
      </c>
      <c r="I2" t="s">
        <v>22</v>
      </c>
      <c r="J2" t="s">
        <v>20</v>
      </c>
      <c r="K2" s="1" t="s">
        <v>26</v>
      </c>
      <c r="L2" t="s">
        <v>20</v>
      </c>
      <c r="M2" t="s">
        <v>29</v>
      </c>
      <c r="N2" t="s">
        <v>20</v>
      </c>
      <c r="O2" t="s">
        <v>32</v>
      </c>
      <c r="P2" t="s">
        <v>20</v>
      </c>
      <c r="Q2" t="s">
        <v>36</v>
      </c>
      <c r="R2" t="s">
        <v>20</v>
      </c>
      <c r="S2" t="s">
        <v>38</v>
      </c>
    </row>
    <row r="3" spans="2:20" x14ac:dyDescent="0.25">
      <c r="B3">
        <v>0</v>
      </c>
      <c r="C3" t="s">
        <v>0</v>
      </c>
      <c r="D3" t="s">
        <v>1</v>
      </c>
      <c r="E3">
        <v>14.98</v>
      </c>
      <c r="F3">
        <f>100-E3</f>
        <v>85.02</v>
      </c>
      <c r="G3" s="1">
        <v>0.120930780682776</v>
      </c>
      <c r="H3" s="1">
        <f>1-G3</f>
        <v>0.87906921931722404</v>
      </c>
      <c r="I3" s="1">
        <v>0.35930000000000001</v>
      </c>
      <c r="J3" s="2">
        <f>1-I3</f>
        <v>0.64070000000000005</v>
      </c>
      <c r="K3" s="4">
        <v>0.120931</v>
      </c>
      <c r="L3" s="2">
        <f>1-K3</f>
        <v>0.87906899999999999</v>
      </c>
      <c r="M3" s="4">
        <v>0.1221</v>
      </c>
      <c r="N3" s="3">
        <f>1-M3</f>
        <v>0.87790000000000001</v>
      </c>
      <c r="O3" s="1">
        <v>0.14951400000000001</v>
      </c>
      <c r="P3" s="3">
        <f>1-O3</f>
        <v>0.85048599999999996</v>
      </c>
      <c r="Q3" s="1">
        <v>0.12185699999999999</v>
      </c>
      <c r="R3" s="2">
        <f>1-Q3</f>
        <v>0.87814300000000001</v>
      </c>
      <c r="S3" s="1">
        <v>0.122712</v>
      </c>
      <c r="T3" s="2">
        <f>1-S3</f>
        <v>0.87728799999999996</v>
      </c>
    </row>
    <row r="4" spans="2:20" x14ac:dyDescent="0.25">
      <c r="B4">
        <v>1</v>
      </c>
      <c r="C4" t="s">
        <v>2</v>
      </c>
      <c r="D4" t="s">
        <v>1</v>
      </c>
      <c r="E4">
        <v>126.01</v>
      </c>
      <c r="F4">
        <f t="shared" ref="F4:F17" si="0">100-E4</f>
        <v>-26.010000000000005</v>
      </c>
      <c r="G4" s="1">
        <v>1.5717119347841899</v>
      </c>
      <c r="H4" s="1">
        <f t="shared" ref="H4:H17" si="1">1-G4</f>
        <v>-0.57171193478418991</v>
      </c>
      <c r="I4" s="1"/>
      <c r="K4" s="4">
        <v>1.571712</v>
      </c>
      <c r="L4" s="2">
        <f t="shared" ref="L4:L17" si="2">1-K4</f>
        <v>-0.571712</v>
      </c>
      <c r="M4" s="4">
        <v>1.5787</v>
      </c>
      <c r="N4" s="3">
        <f t="shared" ref="N4:N17" si="3">1-M4</f>
        <v>-0.57869999999999999</v>
      </c>
      <c r="O4" s="1">
        <v>1.4560500000000001</v>
      </c>
      <c r="P4" s="3">
        <f t="shared" ref="P4:P17" si="4">1-O4</f>
        <v>-0.45605000000000007</v>
      </c>
      <c r="Q4" s="1">
        <v>1.2712079999999999</v>
      </c>
      <c r="R4" s="2">
        <f t="shared" ref="R4:R17" si="5">1-Q4</f>
        <v>-0.27120799999999989</v>
      </c>
      <c r="S4" s="1">
        <v>1.203862</v>
      </c>
      <c r="T4" s="2">
        <f t="shared" ref="T4:T17" si="6">1-S4</f>
        <v>-0.20386199999999999</v>
      </c>
    </row>
    <row r="5" spans="2:20" x14ac:dyDescent="0.25">
      <c r="B5">
        <v>2</v>
      </c>
      <c r="C5" t="s">
        <v>5</v>
      </c>
      <c r="D5" t="s">
        <v>1</v>
      </c>
      <c r="E5">
        <v>80.16</v>
      </c>
      <c r="F5">
        <f t="shared" si="0"/>
        <v>19.840000000000003</v>
      </c>
      <c r="G5" s="1">
        <v>0.89671954335547499</v>
      </c>
      <c r="H5" s="1">
        <f t="shared" si="1"/>
        <v>0.10328045664452501</v>
      </c>
      <c r="I5" s="1"/>
      <c r="K5" s="4">
        <v>0.89671999999999996</v>
      </c>
      <c r="L5" s="2">
        <f t="shared" si="2"/>
        <v>0.10328000000000004</v>
      </c>
      <c r="M5" s="4">
        <v>0.87790000000000001</v>
      </c>
      <c r="N5" s="3">
        <f t="shared" si="3"/>
        <v>0.12209999999999999</v>
      </c>
      <c r="O5" s="1">
        <v>1.173951</v>
      </c>
      <c r="P5" s="3">
        <f t="shared" si="4"/>
        <v>-0.17395099999999997</v>
      </c>
      <c r="Q5" s="1">
        <v>0.929145</v>
      </c>
      <c r="R5" s="2">
        <f t="shared" si="5"/>
        <v>7.0855000000000001E-2</v>
      </c>
      <c r="S5" s="1">
        <v>0.93728699999999998</v>
      </c>
      <c r="T5" s="2">
        <f t="shared" si="6"/>
        <v>6.2713000000000019E-2</v>
      </c>
    </row>
    <row r="6" spans="2:20" x14ac:dyDescent="0.25">
      <c r="B6">
        <v>3</v>
      </c>
      <c r="C6" t="s">
        <v>6</v>
      </c>
      <c r="D6" t="s">
        <v>1</v>
      </c>
      <c r="E6">
        <v>114.27</v>
      </c>
      <c r="F6">
        <f>100-E6</f>
        <v>-14.269999999999996</v>
      </c>
      <c r="G6" s="1">
        <v>0.98149369538938902</v>
      </c>
      <c r="H6" s="1">
        <f t="shared" si="1"/>
        <v>1.850630461061098E-2</v>
      </c>
      <c r="I6" s="1"/>
      <c r="K6" s="4">
        <v>0.98149399999999998</v>
      </c>
      <c r="L6" s="2">
        <f t="shared" si="2"/>
        <v>1.8506000000000022E-2</v>
      </c>
      <c r="M6" s="4">
        <v>0.86419999999999997</v>
      </c>
      <c r="N6" s="3">
        <f t="shared" si="3"/>
        <v>0.13580000000000003</v>
      </c>
      <c r="O6" s="1">
        <v>1.0578419999999999</v>
      </c>
      <c r="P6" s="3">
        <f t="shared" si="4"/>
        <v>-5.7841999999999949E-2</v>
      </c>
      <c r="Q6" s="1">
        <v>0.925763</v>
      </c>
      <c r="R6" s="2">
        <f t="shared" si="5"/>
        <v>7.4236999999999997E-2</v>
      </c>
      <c r="S6" s="1">
        <v>0.98374799999999996</v>
      </c>
      <c r="T6" s="2">
        <f t="shared" si="6"/>
        <v>1.6252000000000044E-2</v>
      </c>
    </row>
    <row r="7" spans="2:20" x14ac:dyDescent="0.25">
      <c r="B7">
        <v>4</v>
      </c>
      <c r="C7" t="s">
        <v>7</v>
      </c>
      <c r="D7" t="s">
        <v>1</v>
      </c>
      <c r="E7">
        <v>16.38</v>
      </c>
      <c r="F7">
        <f t="shared" si="0"/>
        <v>83.62</v>
      </c>
      <c r="G7" s="1">
        <v>0.153352168196981</v>
      </c>
      <c r="H7" s="1">
        <f t="shared" si="1"/>
        <v>0.84664783180301906</v>
      </c>
      <c r="I7" s="1"/>
      <c r="K7" s="4">
        <v>0.15335199999999999</v>
      </c>
      <c r="L7" s="2">
        <f t="shared" si="2"/>
        <v>0.84664800000000007</v>
      </c>
      <c r="M7" s="4">
        <v>0.15809999999999999</v>
      </c>
      <c r="N7" s="3">
        <f t="shared" si="3"/>
        <v>0.84189999999999998</v>
      </c>
      <c r="O7" s="1">
        <v>0.16945499999999999</v>
      </c>
      <c r="P7" s="3">
        <f t="shared" si="4"/>
        <v>0.83054499999999998</v>
      </c>
      <c r="Q7" s="1">
        <v>0.14468300000000001</v>
      </c>
      <c r="R7" s="2">
        <f t="shared" si="5"/>
        <v>0.85531699999999999</v>
      </c>
      <c r="S7" s="1">
        <v>0.13785900000000001</v>
      </c>
      <c r="T7" s="2">
        <f t="shared" si="6"/>
        <v>0.86214100000000005</v>
      </c>
    </row>
    <row r="8" spans="2:20" x14ac:dyDescent="0.25">
      <c r="B8">
        <v>5</v>
      </c>
      <c r="C8" t="s">
        <v>0</v>
      </c>
      <c r="D8" t="s">
        <v>8</v>
      </c>
      <c r="E8">
        <v>25.47</v>
      </c>
      <c r="F8">
        <f t="shared" si="0"/>
        <v>74.53</v>
      </c>
      <c r="G8" s="1">
        <v>0.24444708346066199</v>
      </c>
      <c r="H8" s="1">
        <f t="shared" si="1"/>
        <v>0.75555291653933798</v>
      </c>
      <c r="I8" s="1"/>
      <c r="K8" s="4">
        <v>0.244447</v>
      </c>
      <c r="L8" s="2">
        <f t="shared" si="2"/>
        <v>0.75555300000000003</v>
      </c>
      <c r="M8" s="4">
        <v>0.24440000000000001</v>
      </c>
      <c r="N8" s="3">
        <f t="shared" si="3"/>
        <v>0.75560000000000005</v>
      </c>
      <c r="O8" s="1">
        <v>0.24657799999999999</v>
      </c>
      <c r="P8" s="3">
        <f t="shared" si="4"/>
        <v>0.75342200000000004</v>
      </c>
      <c r="Q8" s="1">
        <v>0.26311200000000001</v>
      </c>
      <c r="R8" s="2">
        <f t="shared" si="5"/>
        <v>0.73688799999999999</v>
      </c>
      <c r="S8" s="1">
        <v>0.23500499999999999</v>
      </c>
      <c r="T8" s="2">
        <f t="shared" si="6"/>
        <v>0.76499499999999998</v>
      </c>
    </row>
    <row r="9" spans="2:20" x14ac:dyDescent="0.25">
      <c r="B9">
        <v>6</v>
      </c>
      <c r="C9" t="s">
        <v>2</v>
      </c>
      <c r="D9" t="s">
        <v>8</v>
      </c>
      <c r="E9">
        <v>26.59</v>
      </c>
      <c r="F9">
        <f t="shared" si="0"/>
        <v>73.41</v>
      </c>
      <c r="G9" s="1">
        <v>0.23940503890602999</v>
      </c>
      <c r="H9" s="1">
        <f t="shared" si="1"/>
        <v>0.76059496109396996</v>
      </c>
      <c r="I9" s="1"/>
      <c r="K9" s="4">
        <v>0.23940500000000001</v>
      </c>
      <c r="L9" s="2">
        <f t="shared" si="2"/>
        <v>0.76059500000000002</v>
      </c>
      <c r="M9" s="4">
        <v>0.25850000000000001</v>
      </c>
      <c r="N9" s="3">
        <f t="shared" si="3"/>
        <v>0.74150000000000005</v>
      </c>
      <c r="O9" s="1">
        <v>0.24685099999999999</v>
      </c>
      <c r="P9" s="3">
        <f t="shared" si="4"/>
        <v>0.75314900000000007</v>
      </c>
      <c r="Q9" s="1">
        <v>0.26146599999999998</v>
      </c>
      <c r="R9" s="2">
        <f t="shared" si="5"/>
        <v>0.73853400000000002</v>
      </c>
      <c r="S9" s="1">
        <v>0.29759099999999999</v>
      </c>
      <c r="T9" s="2">
        <f t="shared" si="6"/>
        <v>0.70240900000000006</v>
      </c>
    </row>
    <row r="10" spans="2:20" x14ac:dyDescent="0.25">
      <c r="B10">
        <v>7</v>
      </c>
      <c r="C10" t="s">
        <v>5</v>
      </c>
      <c r="D10" t="s">
        <v>8</v>
      </c>
      <c r="E10">
        <v>29.02</v>
      </c>
      <c r="F10">
        <f t="shared" si="0"/>
        <v>70.98</v>
      </c>
      <c r="G10" s="1">
        <v>0.33042943986643802</v>
      </c>
      <c r="H10" s="1">
        <f t="shared" si="1"/>
        <v>0.66957056013356198</v>
      </c>
      <c r="I10" s="1"/>
      <c r="K10" s="4">
        <v>0.33042899999999997</v>
      </c>
      <c r="L10" s="2">
        <f t="shared" si="2"/>
        <v>0.66957100000000003</v>
      </c>
      <c r="M10" s="4">
        <v>0.30249999999999999</v>
      </c>
      <c r="N10" s="3">
        <f t="shared" si="3"/>
        <v>0.69750000000000001</v>
      </c>
      <c r="O10" s="1">
        <v>0.29932399999999998</v>
      </c>
      <c r="P10" s="3">
        <f t="shared" si="4"/>
        <v>0.70067600000000008</v>
      </c>
      <c r="Q10" s="1">
        <v>0.28525800000000001</v>
      </c>
      <c r="R10" s="2">
        <f t="shared" si="5"/>
        <v>0.71474199999999999</v>
      </c>
      <c r="S10" s="1">
        <v>0.27731600000000001</v>
      </c>
      <c r="T10" s="2">
        <f t="shared" si="6"/>
        <v>0.72268399999999999</v>
      </c>
    </row>
    <row r="11" spans="2:20" x14ac:dyDescent="0.25">
      <c r="B11">
        <v>8</v>
      </c>
      <c r="C11" t="s">
        <v>6</v>
      </c>
      <c r="D11" t="s">
        <v>8</v>
      </c>
      <c r="E11">
        <v>25.18</v>
      </c>
      <c r="F11">
        <f t="shared" si="0"/>
        <v>74.819999999999993</v>
      </c>
      <c r="G11" s="1">
        <v>0.24982527075401001</v>
      </c>
      <c r="H11" s="1">
        <f t="shared" si="1"/>
        <v>0.75017472924598994</v>
      </c>
      <c r="I11" s="1"/>
      <c r="K11" s="4">
        <v>0.24982499999999999</v>
      </c>
      <c r="L11" s="2">
        <f t="shared" si="2"/>
        <v>0.75017500000000004</v>
      </c>
      <c r="M11" s="4">
        <v>0.2555</v>
      </c>
      <c r="N11" s="3">
        <f t="shared" si="3"/>
        <v>0.74449999999999994</v>
      </c>
      <c r="O11" s="1">
        <v>0.228881</v>
      </c>
      <c r="P11" s="3">
        <f t="shared" si="4"/>
        <v>0.771119</v>
      </c>
      <c r="Q11" s="1">
        <v>0.25441999999999998</v>
      </c>
      <c r="R11" s="2">
        <f t="shared" si="5"/>
        <v>0.74558000000000002</v>
      </c>
      <c r="S11" s="1">
        <v>0.25120900000000002</v>
      </c>
      <c r="T11" s="2">
        <f t="shared" si="6"/>
        <v>0.74879099999999998</v>
      </c>
    </row>
    <row r="12" spans="2:20" x14ac:dyDescent="0.25">
      <c r="B12">
        <v>9</v>
      </c>
      <c r="C12" t="s">
        <v>7</v>
      </c>
      <c r="D12" t="s">
        <v>8</v>
      </c>
      <c r="E12">
        <v>31.14</v>
      </c>
      <c r="F12">
        <f t="shared" si="0"/>
        <v>68.86</v>
      </c>
      <c r="G12" s="1">
        <v>0.288400106368915</v>
      </c>
      <c r="H12" s="1">
        <f t="shared" si="1"/>
        <v>0.711599893631085</v>
      </c>
      <c r="I12" s="1"/>
      <c r="K12" s="4">
        <v>0.28839999999999999</v>
      </c>
      <c r="L12" s="2">
        <f t="shared" si="2"/>
        <v>0.71160000000000001</v>
      </c>
      <c r="M12" s="4">
        <v>0.2838</v>
      </c>
      <c r="N12" s="3">
        <f t="shared" si="3"/>
        <v>0.71619999999999995</v>
      </c>
      <c r="O12" s="1">
        <v>0.26491900000000002</v>
      </c>
      <c r="P12" s="3">
        <f t="shared" si="4"/>
        <v>0.73508099999999998</v>
      </c>
      <c r="Q12" s="1">
        <v>0.28156700000000001</v>
      </c>
      <c r="R12" s="2">
        <f t="shared" si="5"/>
        <v>0.71843299999999999</v>
      </c>
      <c r="S12" s="1">
        <v>0.265851</v>
      </c>
      <c r="T12" s="2">
        <f t="shared" si="6"/>
        <v>0.73414899999999994</v>
      </c>
    </row>
    <row r="13" spans="2:20" x14ac:dyDescent="0.25">
      <c r="B13">
        <v>10</v>
      </c>
      <c r="C13" t="s">
        <v>0</v>
      </c>
      <c r="D13" t="s">
        <v>9</v>
      </c>
      <c r="E13">
        <v>46.98</v>
      </c>
      <c r="F13">
        <f t="shared" si="0"/>
        <v>53.02</v>
      </c>
      <c r="G13" s="1">
        <v>0.35932896583072299</v>
      </c>
      <c r="H13" s="1">
        <f t="shared" si="1"/>
        <v>0.64067103416927695</v>
      </c>
      <c r="I13" s="1"/>
      <c r="K13" s="4">
        <v>0.35932900000000001</v>
      </c>
      <c r="L13" s="2">
        <f t="shared" si="2"/>
        <v>0.64067099999999999</v>
      </c>
      <c r="M13" s="4">
        <v>0.37359999999999999</v>
      </c>
      <c r="N13" s="3">
        <f t="shared" si="3"/>
        <v>0.62640000000000007</v>
      </c>
      <c r="O13" s="1">
        <v>0.44757200000000003</v>
      </c>
      <c r="P13" s="3">
        <f t="shared" si="4"/>
        <v>0.55242799999999992</v>
      </c>
      <c r="Q13" s="1">
        <v>0.42258400000000002</v>
      </c>
      <c r="R13" s="2">
        <f t="shared" si="5"/>
        <v>0.57741599999999993</v>
      </c>
      <c r="S13" s="1">
        <v>0.31743399999999999</v>
      </c>
      <c r="T13" s="2">
        <f t="shared" si="6"/>
        <v>0.68256600000000001</v>
      </c>
    </row>
    <row r="14" spans="2:20" x14ac:dyDescent="0.25">
      <c r="B14">
        <v>11</v>
      </c>
      <c r="C14" t="s">
        <v>2</v>
      </c>
      <c r="D14" t="s">
        <v>9</v>
      </c>
      <c r="E14">
        <v>24.41</v>
      </c>
      <c r="F14">
        <f t="shared" si="0"/>
        <v>75.59</v>
      </c>
      <c r="G14" s="1">
        <v>0.222468156733995</v>
      </c>
      <c r="H14" s="1">
        <f t="shared" si="1"/>
        <v>0.777531843266005</v>
      </c>
      <c r="I14" s="1"/>
      <c r="K14" s="4">
        <v>0.222468</v>
      </c>
      <c r="L14" s="2">
        <f t="shared" si="2"/>
        <v>0.777532</v>
      </c>
      <c r="M14" s="4">
        <v>0.2248</v>
      </c>
      <c r="N14" s="3">
        <f t="shared" si="3"/>
        <v>0.7752</v>
      </c>
      <c r="O14" s="1">
        <v>0.25996900000000001</v>
      </c>
      <c r="P14" s="3">
        <f t="shared" si="4"/>
        <v>0.74003099999999999</v>
      </c>
      <c r="Q14" s="1">
        <v>0.21113399999999999</v>
      </c>
      <c r="R14" s="2">
        <f t="shared" si="5"/>
        <v>0.78886600000000007</v>
      </c>
      <c r="S14" s="1">
        <v>0.20847299999999999</v>
      </c>
      <c r="T14" s="2">
        <f t="shared" si="6"/>
        <v>0.79152699999999998</v>
      </c>
    </row>
    <row r="15" spans="2:20" x14ac:dyDescent="0.25">
      <c r="B15">
        <v>12</v>
      </c>
      <c r="C15" t="s">
        <v>5</v>
      </c>
      <c r="D15" t="s">
        <v>9</v>
      </c>
      <c r="E15">
        <v>35.770000000000003</v>
      </c>
      <c r="F15">
        <f t="shared" si="0"/>
        <v>64.22999999999999</v>
      </c>
      <c r="G15" s="1">
        <v>0.31357287270463402</v>
      </c>
      <c r="H15" s="1">
        <f t="shared" si="1"/>
        <v>0.68642712729536592</v>
      </c>
      <c r="I15" s="1"/>
      <c r="K15" s="4">
        <v>0.31357299999999999</v>
      </c>
      <c r="L15" s="2">
        <f t="shared" si="2"/>
        <v>0.68642700000000001</v>
      </c>
      <c r="M15" s="4">
        <v>0.30780000000000002</v>
      </c>
      <c r="N15" s="3">
        <f t="shared" si="3"/>
        <v>0.69219999999999993</v>
      </c>
      <c r="O15" s="1">
        <v>0.41643999999999998</v>
      </c>
      <c r="P15" s="3">
        <f t="shared" si="4"/>
        <v>0.58356000000000008</v>
      </c>
      <c r="Q15" s="1">
        <v>0.29388900000000001</v>
      </c>
      <c r="R15" s="2">
        <f t="shared" si="5"/>
        <v>0.70611099999999993</v>
      </c>
      <c r="S15" s="1">
        <v>0.26214500000000002</v>
      </c>
      <c r="T15" s="2">
        <f t="shared" si="6"/>
        <v>0.73785499999999993</v>
      </c>
    </row>
    <row r="16" spans="2:20" x14ac:dyDescent="0.25">
      <c r="B16">
        <v>13</v>
      </c>
      <c r="C16" t="s">
        <v>6</v>
      </c>
      <c r="D16" t="s">
        <v>9</v>
      </c>
      <c r="E16">
        <v>25.83</v>
      </c>
      <c r="F16">
        <f t="shared" si="0"/>
        <v>74.17</v>
      </c>
      <c r="G16" s="1">
        <v>0.243738595282462</v>
      </c>
      <c r="H16" s="1">
        <f t="shared" si="1"/>
        <v>0.756261404717538</v>
      </c>
      <c r="I16" s="1"/>
      <c r="K16" s="4">
        <v>0.24982499999999999</v>
      </c>
      <c r="L16" s="2">
        <f t="shared" si="2"/>
        <v>0.75017500000000004</v>
      </c>
      <c r="M16" s="4">
        <v>0.31080000000000002</v>
      </c>
      <c r="N16" s="3">
        <f t="shared" si="3"/>
        <v>0.68920000000000003</v>
      </c>
      <c r="O16" s="1">
        <v>0.29839599999999999</v>
      </c>
      <c r="P16" s="3">
        <f t="shared" si="4"/>
        <v>0.70160400000000001</v>
      </c>
      <c r="Q16" s="1">
        <v>0.255241</v>
      </c>
      <c r="R16" s="2">
        <f t="shared" si="5"/>
        <v>0.74475899999999995</v>
      </c>
      <c r="S16" s="1">
        <v>0.24649599999999999</v>
      </c>
      <c r="T16" s="2">
        <f t="shared" si="6"/>
        <v>0.75350399999999995</v>
      </c>
    </row>
    <row r="17" spans="2:20" x14ac:dyDescent="0.25">
      <c r="B17">
        <v>14</v>
      </c>
      <c r="C17" t="s">
        <v>7</v>
      </c>
      <c r="D17" t="s">
        <v>9</v>
      </c>
      <c r="E17">
        <v>55.38</v>
      </c>
      <c r="F17">
        <f t="shared" si="0"/>
        <v>44.62</v>
      </c>
      <c r="G17" s="1">
        <v>0.42318549351346002</v>
      </c>
      <c r="H17" s="1">
        <f t="shared" si="1"/>
        <v>0.57681450648653998</v>
      </c>
      <c r="I17" s="1"/>
      <c r="K17" s="4">
        <v>0.42318499999999998</v>
      </c>
      <c r="L17" s="2">
        <f t="shared" si="2"/>
        <v>0.57681500000000008</v>
      </c>
      <c r="M17" s="4">
        <v>0.47939999999999999</v>
      </c>
      <c r="N17" s="3">
        <f t="shared" si="3"/>
        <v>0.52059999999999995</v>
      </c>
      <c r="O17" s="1">
        <v>0.46964</v>
      </c>
      <c r="P17" s="3">
        <f t="shared" si="4"/>
        <v>0.53035999999999994</v>
      </c>
      <c r="Q17" s="1">
        <v>0.46797800000000001</v>
      </c>
      <c r="R17" s="2">
        <f t="shared" si="5"/>
        <v>0.53202199999999999</v>
      </c>
      <c r="S17" s="1">
        <v>0.45166200000000001</v>
      </c>
      <c r="T17" s="2">
        <f t="shared" si="6"/>
        <v>0.54833799999999999</v>
      </c>
    </row>
    <row r="18" spans="2:20" x14ac:dyDescent="0.25">
      <c r="E18">
        <f>AVERAGE(E3:E17)</f>
        <v>45.17133333333333</v>
      </c>
      <c r="F18">
        <f>AVERAGE(F3:F17)</f>
        <v>54.82866666666667</v>
      </c>
      <c r="H18" s="4">
        <f>AVERAGE(H3:H17)</f>
        <v>0.55739939027799079</v>
      </c>
      <c r="I18" s="1"/>
      <c r="L18" s="3">
        <f>AVERAGE(L3:L17)</f>
        <v>0.55699366666666672</v>
      </c>
      <c r="N18" s="3">
        <f>AVERAGE(N3:N17)</f>
        <v>0.55719333333333343</v>
      </c>
      <c r="P18" s="3">
        <f>AVERAGE(P3:P17)</f>
        <v>0.52097453333333332</v>
      </c>
      <c r="R18" s="2">
        <f>AVERAGE(R3:R17)</f>
        <v>0.57404633333333333</v>
      </c>
      <c r="T18" s="2">
        <f>AVERAGE(T3:T17)</f>
        <v>0.58675666666666648</v>
      </c>
    </row>
    <row r="21" spans="2:20" x14ac:dyDescent="0.25">
      <c r="C21" t="s">
        <v>14</v>
      </c>
      <c r="D21" t="s">
        <v>15</v>
      </c>
      <c r="E21" t="s">
        <v>16</v>
      </c>
      <c r="F21" t="s">
        <v>30</v>
      </c>
    </row>
    <row r="22" spans="2:20" x14ac:dyDescent="0.25">
      <c r="C22" t="s">
        <v>12</v>
      </c>
      <c r="D22" t="s">
        <v>13</v>
      </c>
      <c r="E22" t="s">
        <v>17</v>
      </c>
    </row>
    <row r="23" spans="2:20" x14ac:dyDescent="0.25">
      <c r="C23" t="s">
        <v>18</v>
      </c>
      <c r="D23" t="s">
        <v>19</v>
      </c>
    </row>
    <row r="24" spans="2:20" x14ac:dyDescent="0.25">
      <c r="C24" t="s">
        <v>21</v>
      </c>
      <c r="D24" t="s">
        <v>23</v>
      </c>
    </row>
    <row r="25" spans="2:20" x14ac:dyDescent="0.25">
      <c r="C25" t="s">
        <v>24</v>
      </c>
      <c r="D25" t="s">
        <v>25</v>
      </c>
    </row>
    <row r="26" spans="2:20" x14ac:dyDescent="0.25">
      <c r="C26" t="s">
        <v>27</v>
      </c>
      <c r="D26" t="s">
        <v>28</v>
      </c>
      <c r="F26" t="s">
        <v>31</v>
      </c>
    </row>
    <row r="27" spans="2:20" x14ac:dyDescent="0.25">
      <c r="C27" t="s">
        <v>34</v>
      </c>
      <c r="D27" t="s">
        <v>33</v>
      </c>
    </row>
    <row r="28" spans="2:20" x14ac:dyDescent="0.25">
      <c r="C28" t="s">
        <v>35</v>
      </c>
      <c r="D28" t="s">
        <v>37</v>
      </c>
    </row>
    <row r="29" spans="2:20" x14ac:dyDescent="0.25">
      <c r="C29" t="s">
        <v>39</v>
      </c>
      <c r="D29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91DB-06F2-46D4-B4A8-214070126B2F}">
  <dimension ref="A1:I17"/>
  <sheetViews>
    <sheetView tabSelected="1" workbookViewId="0">
      <selection activeCell="A4" sqref="A3:XFD4"/>
    </sheetView>
  </sheetViews>
  <sheetFormatPr defaultRowHeight="15" x14ac:dyDescent="0.25"/>
  <cols>
    <col min="1" max="1" width="20.140625" bestFit="1" customWidth="1"/>
    <col min="2" max="2" width="14.140625" customWidth="1"/>
    <col min="3" max="3" width="9.5703125" bestFit="1" customWidth="1"/>
    <col min="4" max="4" width="17.28515625" bestFit="1" customWidth="1"/>
    <col min="5" max="5" width="16.7109375" bestFit="1" customWidth="1"/>
    <col min="6" max="6" width="17.28515625" bestFit="1" customWidth="1"/>
    <col min="7" max="7" width="20.140625" style="10" bestFit="1" customWidth="1"/>
    <col min="8" max="8" width="55.140625" bestFit="1" customWidth="1"/>
  </cols>
  <sheetData>
    <row r="1" spans="1:9" x14ac:dyDescent="0.25">
      <c r="A1" s="6" t="s">
        <v>3</v>
      </c>
      <c r="B1" s="6" t="s">
        <v>4</v>
      </c>
      <c r="C1" s="6" t="s">
        <v>41</v>
      </c>
      <c r="D1" s="6" t="s">
        <v>42</v>
      </c>
      <c r="E1" s="6" t="s">
        <v>43</v>
      </c>
      <c r="F1" s="6" t="s">
        <v>44</v>
      </c>
      <c r="G1" s="8" t="s">
        <v>45</v>
      </c>
      <c r="H1" s="6" t="s">
        <v>68</v>
      </c>
      <c r="I1" s="6" t="s">
        <v>46</v>
      </c>
    </row>
    <row r="2" spans="1:9" x14ac:dyDescent="0.25">
      <c r="A2" s="6" t="s">
        <v>56</v>
      </c>
      <c r="B2" s="6" t="s">
        <v>1</v>
      </c>
      <c r="C2" s="6" t="s">
        <v>52</v>
      </c>
      <c r="D2" s="6" t="s">
        <v>53</v>
      </c>
      <c r="E2" s="6" t="s">
        <v>70</v>
      </c>
      <c r="F2" s="6">
        <v>85</v>
      </c>
      <c r="G2" s="8">
        <v>79.8</v>
      </c>
      <c r="H2" s="6"/>
      <c r="I2" s="6" t="s">
        <v>63</v>
      </c>
    </row>
    <row r="3" spans="1:9" s="5" customFormat="1" x14ac:dyDescent="0.25">
      <c r="A3" s="7" t="s">
        <v>47</v>
      </c>
      <c r="B3" s="7" t="s">
        <v>1</v>
      </c>
      <c r="C3" s="7" t="s">
        <v>48</v>
      </c>
      <c r="D3" s="7" t="s">
        <v>53</v>
      </c>
      <c r="E3" s="7" t="s">
        <v>50</v>
      </c>
      <c r="F3" s="7">
        <v>-19</v>
      </c>
      <c r="G3" s="9">
        <v>-78.8</v>
      </c>
      <c r="H3" s="7" t="s">
        <v>69</v>
      </c>
      <c r="I3" s="7" t="s">
        <v>59</v>
      </c>
    </row>
    <row r="4" spans="1:9" s="5" customFormat="1" x14ac:dyDescent="0.25">
      <c r="A4" s="7" t="s">
        <v>54</v>
      </c>
      <c r="B4" s="7" t="s">
        <v>1</v>
      </c>
      <c r="C4" s="7" t="s">
        <v>52</v>
      </c>
      <c r="D4" s="7" t="s">
        <v>49</v>
      </c>
      <c r="E4" s="7" t="s">
        <v>55</v>
      </c>
      <c r="F4" s="7">
        <v>-30.6</v>
      </c>
      <c r="G4" s="9">
        <v>-53.9</v>
      </c>
      <c r="H4" s="7" t="s">
        <v>69</v>
      </c>
      <c r="I4" s="7" t="s">
        <v>60</v>
      </c>
    </row>
    <row r="5" spans="1:9" x14ac:dyDescent="0.25">
      <c r="A5" s="6" t="s">
        <v>58</v>
      </c>
      <c r="B5" s="6" t="s">
        <v>1</v>
      </c>
      <c r="C5" s="6" t="s">
        <v>52</v>
      </c>
      <c r="D5" s="6" t="s">
        <v>71</v>
      </c>
      <c r="E5" s="6" t="s">
        <v>72</v>
      </c>
      <c r="F5" s="6">
        <v>69</v>
      </c>
      <c r="G5" s="8">
        <v>56.3</v>
      </c>
      <c r="H5" s="6" t="s">
        <v>75</v>
      </c>
      <c r="I5" s="6" t="s">
        <v>76</v>
      </c>
    </row>
    <row r="6" spans="1:9" x14ac:dyDescent="0.25">
      <c r="A6" s="6" t="s">
        <v>51</v>
      </c>
      <c r="B6" s="6" t="s">
        <v>1</v>
      </c>
      <c r="C6" s="6" t="s">
        <v>52</v>
      </c>
      <c r="D6" s="6" t="s">
        <v>49</v>
      </c>
      <c r="E6" s="6" t="s">
        <v>50</v>
      </c>
      <c r="F6" s="6">
        <v>79.599999999999994</v>
      </c>
      <c r="G6" s="8">
        <v>78.099999999999994</v>
      </c>
      <c r="H6" s="6"/>
      <c r="I6" s="6" t="s">
        <v>65</v>
      </c>
    </row>
    <row r="7" spans="1:9" x14ac:dyDescent="0.25">
      <c r="A7" s="6" t="s">
        <v>56</v>
      </c>
      <c r="B7" s="6" t="s">
        <v>8</v>
      </c>
      <c r="C7" s="6" t="s">
        <v>52</v>
      </c>
      <c r="D7" s="6" t="s">
        <v>49</v>
      </c>
      <c r="E7" s="6" t="s">
        <v>50</v>
      </c>
      <c r="F7" s="6">
        <v>78.2</v>
      </c>
      <c r="G7" s="8">
        <v>78.099999999999994</v>
      </c>
      <c r="H7" s="6"/>
      <c r="I7" s="6" t="s">
        <v>67</v>
      </c>
    </row>
    <row r="8" spans="1:9" x14ac:dyDescent="0.25">
      <c r="A8" s="6" t="s">
        <v>47</v>
      </c>
      <c r="B8" s="6" t="s">
        <v>8</v>
      </c>
      <c r="C8" s="6" t="s">
        <v>52</v>
      </c>
      <c r="D8" s="6" t="s">
        <v>49</v>
      </c>
      <c r="E8" s="6" t="s">
        <v>55</v>
      </c>
      <c r="F8" s="6">
        <v>77.900000000000006</v>
      </c>
      <c r="G8" s="8">
        <v>77.7</v>
      </c>
      <c r="H8" s="6"/>
      <c r="I8" s="6" t="s">
        <v>66</v>
      </c>
    </row>
    <row r="9" spans="1:9" x14ac:dyDescent="0.25">
      <c r="A9" s="6" t="s">
        <v>54</v>
      </c>
      <c r="B9" s="6" t="s">
        <v>8</v>
      </c>
      <c r="C9" s="6" t="s">
        <v>52</v>
      </c>
      <c r="D9" s="6" t="s">
        <v>49</v>
      </c>
      <c r="E9" s="6" t="s">
        <v>50</v>
      </c>
      <c r="F9" s="6">
        <v>66.5</v>
      </c>
      <c r="G9" s="8">
        <v>66.599999999999994</v>
      </c>
      <c r="H9" s="6"/>
      <c r="I9" s="6" t="s">
        <v>80</v>
      </c>
    </row>
    <row r="10" spans="1:9" x14ac:dyDescent="0.25">
      <c r="A10" s="6" t="s">
        <v>58</v>
      </c>
      <c r="B10" s="6" t="s">
        <v>8</v>
      </c>
      <c r="C10" s="6" t="s">
        <v>52</v>
      </c>
      <c r="D10" s="6" t="s">
        <v>49</v>
      </c>
      <c r="E10" s="6" t="s">
        <v>70</v>
      </c>
      <c r="F10" s="6">
        <v>69.400000000000006</v>
      </c>
      <c r="G10" s="8">
        <v>68.599999999999994</v>
      </c>
      <c r="H10" s="6"/>
      <c r="I10" s="6" t="s">
        <v>79</v>
      </c>
    </row>
    <row r="11" spans="1:9" x14ac:dyDescent="0.25">
      <c r="A11" s="6" t="s">
        <v>51</v>
      </c>
      <c r="B11" s="6" t="s">
        <v>8</v>
      </c>
      <c r="C11" s="6" t="s">
        <v>52</v>
      </c>
      <c r="D11" s="6" t="s">
        <v>49</v>
      </c>
      <c r="E11" s="6" t="s">
        <v>57</v>
      </c>
      <c r="F11" s="6">
        <v>79.3</v>
      </c>
      <c r="G11" s="8">
        <v>77.5</v>
      </c>
      <c r="H11" s="6" t="s">
        <v>73</v>
      </c>
      <c r="I11" s="6" t="s">
        <v>77</v>
      </c>
    </row>
    <row r="12" spans="1:9" x14ac:dyDescent="0.25">
      <c r="A12" s="6" t="s">
        <v>56</v>
      </c>
      <c r="B12" s="6" t="s">
        <v>9</v>
      </c>
      <c r="C12" s="6" t="s">
        <v>52</v>
      </c>
      <c r="D12" s="6" t="s">
        <v>49</v>
      </c>
      <c r="E12" s="6" t="s">
        <v>57</v>
      </c>
      <c r="F12" s="6">
        <v>60</v>
      </c>
      <c r="G12" s="8">
        <v>37.5</v>
      </c>
      <c r="H12" s="6"/>
      <c r="I12" s="6" t="s">
        <v>61</v>
      </c>
    </row>
    <row r="13" spans="1:9" x14ac:dyDescent="0.25">
      <c r="A13" s="6" t="s">
        <v>47</v>
      </c>
      <c r="B13" s="6" t="s">
        <v>9</v>
      </c>
      <c r="C13" s="6" t="s">
        <v>52</v>
      </c>
      <c r="D13" s="6" t="s">
        <v>49</v>
      </c>
      <c r="E13" s="6" t="s">
        <v>55</v>
      </c>
      <c r="F13" s="6">
        <v>85.7</v>
      </c>
      <c r="G13" s="8">
        <v>79.400000000000006</v>
      </c>
      <c r="H13" s="6"/>
      <c r="I13" s="6" t="s">
        <v>62</v>
      </c>
    </row>
    <row r="14" spans="1:9" x14ac:dyDescent="0.25">
      <c r="A14" s="6" t="s">
        <v>54</v>
      </c>
      <c r="B14" s="6" t="s">
        <v>9</v>
      </c>
      <c r="C14" s="6" t="s">
        <v>52</v>
      </c>
      <c r="D14" s="6" t="s">
        <v>49</v>
      </c>
      <c r="E14" s="6" t="s">
        <v>57</v>
      </c>
      <c r="F14" s="6">
        <v>64.5</v>
      </c>
      <c r="G14" s="8">
        <v>63.2</v>
      </c>
      <c r="H14" s="6"/>
      <c r="I14" s="6" t="s">
        <v>78</v>
      </c>
    </row>
    <row r="15" spans="1:9" x14ac:dyDescent="0.25">
      <c r="A15" s="6" t="s">
        <v>58</v>
      </c>
      <c r="B15" s="6" t="s">
        <v>9</v>
      </c>
      <c r="C15" s="6" t="s">
        <v>52</v>
      </c>
      <c r="D15" s="6" t="s">
        <v>53</v>
      </c>
      <c r="E15" s="6" t="s">
        <v>70</v>
      </c>
      <c r="F15" s="6">
        <v>79.3</v>
      </c>
      <c r="G15" s="8">
        <v>77.400000000000006</v>
      </c>
      <c r="H15" s="6"/>
      <c r="I15" s="6" t="s">
        <v>64</v>
      </c>
    </row>
    <row r="16" spans="1:9" x14ac:dyDescent="0.25">
      <c r="A16" s="6" t="s">
        <v>51</v>
      </c>
      <c r="B16" s="6" t="s">
        <v>9</v>
      </c>
      <c r="C16" s="6" t="s">
        <v>52</v>
      </c>
      <c r="D16" s="6" t="s">
        <v>49</v>
      </c>
      <c r="E16" s="6" t="s">
        <v>70</v>
      </c>
      <c r="F16" s="6">
        <v>58.3</v>
      </c>
      <c r="G16" s="8">
        <v>27.6</v>
      </c>
      <c r="H16" s="6"/>
      <c r="I16" s="6" t="s">
        <v>74</v>
      </c>
    </row>
    <row r="17" spans="6:7" x14ac:dyDescent="0.25">
      <c r="F17" s="11">
        <f>AVERAGE(F2,F5:F16)</f>
        <v>73.284615384615378</v>
      </c>
      <c r="G17" s="11">
        <f>AVERAGE(G2,G5:G16)</f>
        <v>66.753846153846155</v>
      </c>
    </row>
  </sheetData>
  <sortState xmlns:xlrd2="http://schemas.microsoft.com/office/spreadsheetml/2017/richdata2" ref="A2:I16">
    <sortCondition ref="B6:B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Portela</dc:creator>
  <cp:lastModifiedBy>Portela, Priscila (Contractor)</cp:lastModifiedBy>
  <dcterms:created xsi:type="dcterms:W3CDTF">2026-07-06T01:52:52Z</dcterms:created>
  <dcterms:modified xsi:type="dcterms:W3CDTF">2026-07-15T15:26:57Z</dcterms:modified>
</cp:coreProperties>
</file>